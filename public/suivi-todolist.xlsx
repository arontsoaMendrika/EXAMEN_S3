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Feuil4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<sst xmlns="http://schemas.openxmlformats.org/spreadsheetml/2006/main" count="59" uniqueCount="40">
  <si>
    <t xml:space="preserve">Qui</t>
  </si>
  <si>
    <t xml:space="preserve">Somme de Estimation</t>
  </si>
  <si>
    <t xml:space="preserve">(vide)</t>
  </si>
  <si>
    <t xml:space="preserve">Mendrika</t>
  </si>
  <si>
    <t xml:space="preserve">Sanda</t>
  </si>
  <si>
    <t xml:space="preserve">Mandresy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</si>
  <si>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</si>
  <si>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</si>
  <si>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</si>
  <si>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</si>
  <si>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</si>
  <si>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</si>
  <si>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</si>
  <si>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</si>
  <si>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</si>
  <si>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Base de données</t>
  </si>
  <si>
    <t xml:space="preserve">bngrc.sql</t>
  </si>
  <si>
    <t xml:space="preserve">Postgresql:création des tables </t>
  </si>
  <si>
    <t xml:space="preserve">Base</t>
  </si>
  <si>
    <t xml:space="preserve">ok</t>
  </si>
  <si>
    <t xml:space="preserve">insert.sql</t>
  </si>
  <si>
    <t xml:space="preserve">Insertion des données initiales</t>
  </si>
  <si>
    <t xml:space="preserve">Page d’accueil</t>
  </si>
  <si>
    <t xml:space="preserve">accueil.php</t>
  </si>
  <si>
    <t xml:space="preserve">Tableau de bord:listes villes</t>
  </si>
  <si>
    <t xml:space="preserve">Page php</t>
  </si>
  <si>
    <t xml:space="preserve">Page  d  ‘ajout</t>
  </si>
  <si>
    <t xml:space="preserve">besoin.php</t>
  </si>
  <si>
    <t xml:space="preserve">CRUD de besoin par ville</t>
  </si>
  <si>
    <t xml:space="preserve">CRUD d’ ajout de dons</t>
  </si>
  <si>
    <t xml:space="preserve">Design</t>
  </si>
  <si>
    <t xml:space="preserve">dossier template</t>
  </si>
  <si>
    <t xml:space="preserve">design des page</t>
  </si>
  <si>
    <t xml:space="preserve">css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</si>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</sst>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\ %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I200" sheet="liste des taches"/>
  </cacheSource>
  <cacheFields count="9">
    <cacheField name="Module" numFmtId="0">
      <sharedItems containsBlank="1" count="5">
        <s v="Base de données"/>
        <s v="Page  d  ‘ajout"/>
        <s v="Page d’accueil"/>
        <s v="Page fonction"/>
        <m/>
      </sharedItems>
    </cacheField>
    <cacheField name="Nom page" numFmtId="0">
      <sharedItems containsBlank="1" count="6">
        <s v="accueil.php"/>
        <s v="besoin.php"/>
        <s v="bngrc.sql"/>
        <s v="fonction.php"/>
        <s v="insert.sql"/>
        <m/>
      </sharedItems>
    </cacheField>
    <cacheField name="Description" numFmtId="0">
      <sharedItems containsBlank="1" count="7">
        <s v="CRUD d’ ajout de dons"/>
        <s v="CRUD de besoin par ville"/>
        <s v="fonction getsinistreparville"/>
        <s v="Insertion des données initiales"/>
        <s v="Postgresql:création des tables "/>
        <s v="Tableau de bord:listes villes"/>
        <m/>
      </sharedItems>
    </cacheField>
    <cacheField name="Type" numFmtId="0">
      <sharedItems containsBlank="1" count="3">
        <s v="Base"/>
        <s v="Page php"/>
        <m/>
      </sharedItems>
    </cacheField>
    <cacheField name="Estimation" numFmtId="0">
      <sharedItems containsString="0" containsBlank="1" containsNumber="1" containsInteger="1" minValue="5" maxValue="10" count="3">
        <n v="5"/>
        <n v="10"/>
        <m/>
      </sharedItems>
    </cacheField>
    <cacheField name="Temps passé" numFmtId="0">
      <sharedItems containsString="0" containsBlank="1" count="1">
        <m/>
      </sharedItems>
    </cacheField>
    <cacheField name="Reste à faire" numFmtId="0">
      <sharedItems containsString="0" containsBlank="1" count="1">
        <m/>
      </sharedItems>
    </cacheField>
    <cacheField name="Qui" numFmtId="0">
      <sharedItems containsBlank="1" count="4">
        <s v="Mandresy"/>
        <s v="Mendrika"/>
        <s v="Sanda"/>
        <m/>
      </sharedItems>
    </cacheField>
    <cacheField name="Status" numFmtId="0">
      <sharedItems containsBlank="1" count="2">
        <s v="ok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2"/>
    <x v="4"/>
    <x v="0"/>
    <x v="1"/>
    <x v="0"/>
    <x v="0"/>
    <x v="1"/>
    <x v="0"/>
  </r>
  <r>
    <x v="0"/>
    <x v="4"/>
    <x v="3"/>
    <x v="0"/>
    <x v="0"/>
    <x v="0"/>
    <x v="0"/>
    <x v="1"/>
    <x v="0"/>
  </r>
  <r>
    <x v="2"/>
    <x v="0"/>
    <x v="5"/>
    <x v="1"/>
    <x v="1"/>
    <x v="0"/>
    <x v="0"/>
    <x v="2"/>
    <x v="0"/>
  </r>
  <r>
    <x v="1"/>
    <x v="1"/>
    <x v="1"/>
    <x v="1"/>
    <x v="1"/>
    <x v="0"/>
    <x v="0"/>
    <x v="2"/>
    <x v="0"/>
  </r>
  <r>
    <x v="3"/>
    <x v="3"/>
    <x v="2"/>
    <x v="2"/>
    <x v="2"/>
    <x v="0"/>
    <x v="0"/>
    <x v="3"/>
    <x v="1"/>
  </r>
  <r>
    <x v="1"/>
    <x v="1"/>
    <x v="0"/>
    <x v="1"/>
    <x v="1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</pivotFields>
  <rowFields count="1">
    <field x="7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55078125" defaultRowHeight="12.8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9.5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n">
        <v>15</v>
      </c>
    </row>
    <row r="6" customFormat="false" ht="15" hidden="false" customHeight="false" outlineLevel="0" collapsed="false">
      <c r="A6" s="6" t="s">
        <v>4</v>
      </c>
      <c r="B6" s="7" t="n">
        <v>20</v>
      </c>
    </row>
    <row r="7" customFormat="false" ht="15" hidden="false" customHeight="false" outlineLevel="0" collapsed="false">
      <c r="A7" s="6" t="s">
        <v>5</v>
      </c>
      <c r="B7" s="8" t="n">
        <v>10</v>
      </c>
    </row>
    <row r="8" customFormat="false" ht="15" hidden="false" customHeight="false" outlineLevel="0" collapsed="false">
      <c r="A8" s="9" t="s">
        <v>6</v>
      </c>
      <c r="B8" s="10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8" activeCellId="0" sqref="I8"/>
    </sheetView>
  </sheetViews>
  <sheetFormatPr defaultColWidth="10.55078125" defaultRowHeight="15" zeroHeight="false" outlineLevelRow="0" outlineLevelCol="0"/>
  <cols>
    <col collapsed="false" customWidth="true" hidden="false" outlineLevel="0" max="1" min="1" style="1" width="21.63"/>
    <col collapsed="false" customWidth="true" hidden="false" outlineLevel="0" max="2" min="2" style="1" width="31.55"/>
    <col collapsed="false" customWidth="true" hidden="false" outlineLevel="0" max="3" min="3" style="1" width="36.06"/>
    <col collapsed="false" customWidth="true" hidden="false" outlineLevel="0" max="4" min="4" style="1" width="25.92"/>
    <col collapsed="false" customWidth="true" hidden="false" outlineLevel="0" max="5" min="5" style="1" width="24.01"/>
    <col collapsed="false" customWidth="true" hidden="false" outlineLevel="0" max="6" min="6" style="1" width="25.13"/>
    <col collapsed="false" customWidth="true" hidden="false" outlineLevel="0" max="7" min="7" style="1" width="18.15"/>
    <col collapsed="false" customWidth="true" hidden="false" outlineLevel="0" max="8" min="8" style="1" width="19.72"/>
    <col collapsed="false" customWidth="true" hidden="false" outlineLevel="0" max="9" min="9" style="1" width="23.55"/>
    <col collapsed="false" customWidth="true" hidden="false" outlineLevel="0" max="16384" min="16384" style="1" width="9.34"/>
  </cols>
  <sheetData>
    <row r="1" customFormat="false" ht="15" hidden="false" customHeight="false" outlineLevel="0" collapsed="false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0</v>
      </c>
      <c r="I1" s="11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n">
        <v>10</v>
      </c>
      <c r="F2" s="1" t="n">
        <v>15</v>
      </c>
      <c r="H2" s="1" t="s">
        <v>3</v>
      </c>
      <c r="I2" s="1" t="s">
        <v>19</v>
      </c>
    </row>
    <row r="3" customFormat="false" ht="15" hidden="false" customHeight="false" outlineLevel="0" collapsed="false">
      <c r="A3" s="1" t="s">
        <v>15</v>
      </c>
      <c r="B3" s="1" t="s">
        <v>20</v>
      </c>
      <c r="C3" s="1" t="s">
        <v>21</v>
      </c>
      <c r="D3" s="1" t="s">
        <v>18</v>
      </c>
      <c r="E3" s="1" t="n">
        <v>5</v>
      </c>
      <c r="F3" s="1" t="n">
        <v>5</v>
      </c>
      <c r="H3" s="1" t="s">
        <v>3</v>
      </c>
      <c r="I3" s="1" t="s">
        <v>19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n">
        <v>10</v>
      </c>
      <c r="F4" s="1" t="n">
        <v>10</v>
      </c>
      <c r="H4" s="1" t="s">
        <v>4</v>
      </c>
      <c r="I4" s="1" t="s">
        <v>19</v>
      </c>
    </row>
    <row r="5" customFormat="false" ht="15" hidden="false" customHeight="false" outlineLevel="0" collapsed="false">
      <c r="A5" s="1" t="s">
        <v>26</v>
      </c>
      <c r="B5" s="1" t="s">
        <v>27</v>
      </c>
      <c r="C5" s="1" t="s">
        <v>28</v>
      </c>
      <c r="D5" s="1" t="s">
        <v>25</v>
      </c>
      <c r="E5" s="1" t="n">
        <v>10</v>
      </c>
      <c r="F5" s="1" t="n">
        <v>12</v>
      </c>
      <c r="H5" s="1" t="s">
        <v>4</v>
      </c>
      <c r="I5" s="1" t="s">
        <v>19</v>
      </c>
    </row>
    <row r="6" customFormat="false" ht="15" hidden="false" customHeight="false" outlineLevel="0" collapsed="false">
      <c r="A6" s="1" t="s">
        <v>26</v>
      </c>
      <c r="B6" s="1" t="s">
        <v>27</v>
      </c>
      <c r="C6" s="1" t="s">
        <v>29</v>
      </c>
      <c r="D6" s="1" t="s">
        <v>25</v>
      </c>
      <c r="E6" s="1" t="n">
        <v>10</v>
      </c>
      <c r="F6" s="1" t="n">
        <v>10</v>
      </c>
      <c r="H6" s="1" t="s">
        <v>5</v>
      </c>
      <c r="I6" s="1" t="s">
        <v>19</v>
      </c>
    </row>
    <row r="7" customFormat="false" ht="1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n">
        <v>10</v>
      </c>
      <c r="F7" s="1" t="n">
        <v>11</v>
      </c>
      <c r="H7" s="1" t="s">
        <v>4</v>
      </c>
      <c r="I7" s="1" t="s">
        <v>19</v>
      </c>
    </row>
    <row r="8" customFormat="false" ht="15" hidden="false" customHeight="false" outlineLevel="0" collapsed="false">
      <c r="E8" s="1" t="n">
        <v>20</v>
      </c>
      <c r="F8" s="1" t="n">
        <v>20</v>
      </c>
      <c r="H8" s="1" t="s">
        <v>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5078125" defaultRowHeight="12.8" zeroHeight="false" outlineLevelRow="0" outlineLevelCol="0"/>
  <cols>
    <col collapsed="false" customWidth="true" hidden="false" outlineLevel="0" max="1" min="1" style="1" width="25.5"/>
    <col collapsed="false" customWidth="true" hidden="false" outlineLevel="0" max="2" min="2" style="1" width="25.83"/>
    <col collapsed="false" customWidth="true" hidden="false" outlineLevel="0" max="3" min="3" style="1" width="30.83"/>
    <col collapsed="false" customWidth="true" hidden="false" outlineLevel="0" max="4" min="4" style="1" width="12.51"/>
    <col collapsed="false" customWidth="true" hidden="false" outlineLevel="0" max="5" min="5" style="1" width="22.5"/>
  </cols>
  <sheetData>
    <row r="1" customFormat="false" ht="15" hidden="false" customHeight="fals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</row>
    <row r="2" customFormat="false" ht="15" hidden="false" customHeight="false" outlineLevel="0" collapsed="false">
      <c r="A2" s="1" t="n">
        <f aca="false">SUM('liste des taches'!E2:E329)</f>
        <v>75</v>
      </c>
      <c r="B2" s="1" t="n">
        <f aca="false">SUM('liste des taches'!F2:F327)</f>
        <v>83</v>
      </c>
      <c r="C2" s="1" t="n">
        <f aca="false">SUM('liste des taches'!G2:G329)</f>
        <v>0</v>
      </c>
      <c r="D2" s="12" t="n">
        <f aca="false">(B2/(B2+C2))</f>
        <v>1</v>
      </c>
      <c r="E2" s="13" t="n">
        <f aca="false">((B2+C2)-A2)/A2</f>
        <v>0.106666666666667</v>
      </c>
    </row>
    <row r="3" customFormat="false" ht="15" hidden="false" customHeight="false" outlineLevel="0" collapsed="false">
      <c r="C3" s="1" t="n">
        <f aca="false">C2/60</f>
        <v>0</v>
      </c>
      <c r="D3" s="1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55078125" defaultRowHeight="12.8" zeroHeight="false" outlineLevelRow="0" outlineLevelCol="0"/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2026-02-16T16:30:26Z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