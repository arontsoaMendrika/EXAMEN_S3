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3"/>
    <sheet name="liste des taches" sheetId="2" state="visible" r:id="rId4"/>
    <sheet name="avancement projet" sheetId="3" state="visible" r:id="rId5"/>
    <sheet name="Feuil4" sheetId="4" state="visible" r:id="rId6"/>
  </sheets>
  <calcPr iterateCount="100" refMode="A1" iterate="false" iterateDelta="0.0001"/>
  <pivotCaches>
    <pivotCache cacheId="1" r:id="rId8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<sst xmlns="http://schemas.openxmlformats.org/spreadsheetml/2006/main" count="54" uniqueCount="39">
  <si>
    <t xml:space="preserve">Qui</t>
  </si>
  <si>
    <t xml:space="preserve">Somme de Estimation</t>
  </si>
  <si>
    <t xml:space="preserve">(vide)</t>
  </si>
  <si>
    <t xml:space="preserve">Mendrika</t>
  </si>
  <si>
    <t xml:space="preserve">Sanda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</si>
  <si>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</si>
  <si>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</si>
  <si>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</si>
  <si>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</si>
  <si>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</si>
  <si>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</si>
  <si>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</si>
  <si>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</si>
  <si>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Status</t>
  </si>
  <si>
    <t xml:space="preserve">Base de données</t>
  </si>
  <si>
    <t xml:space="preserve">bngrc.sql</t>
  </si>
  <si>
    <t xml:space="preserve">Postgresql:création des tables </t>
  </si>
  <si>
    <t xml:space="preserve">Base</t>
  </si>
  <si>
    <t xml:space="preserve">ok</t>
  </si>
  <si>
    <t xml:space="preserve">insert.sql</t>
  </si>
  <si>
    <t xml:space="preserve">Insertion des données initiales</t>
  </si>
  <si>
    <t xml:space="preserve">Page d’accueil</t>
  </si>
  <si>
    <t xml:space="preserve">accueil.php</t>
  </si>
  <si>
    <t xml:space="preserve">Tableau de bord:listes villes</t>
  </si>
  <si>
    <t xml:space="preserve">Page php</t>
  </si>
  <si>
    <t xml:space="preserve">Page  d  ‘ajout</t>
  </si>
  <si>
    <t xml:space="preserve">besoin.php</t>
  </si>
  <si>
    <t xml:space="preserve">CRUD de besoin par ville</t>
  </si>
  <si>
    <t xml:space="preserve">Page fonction</t>
  </si>
  <si>
    <t xml:space="preserve">fonction.php</t>
  </si>
  <si>
    <t xml:space="preserve">fonction getsinistreparville</t>
  </si>
  <si>
    <t xml:space="preserve">CRUD d’ ajout de dons</t>
  </si>
  <si>
    <t xml:space="preserve">Mandresy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</si>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</sst>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 %"/>
    <numFmt numFmtId="166" formatCode="0.00\ %"/>
  </numFmts>
  <fonts count="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2"/>
      <charset val="1"/>
    </font>
    <font>
      <b val="true"/>
      <sz val="12"/>
      <color theme="1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5999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" createdVersion="3">
  <cacheSource type="worksheet">
    <worksheetSource ref="A1:I201" sheet="liste des taches"/>
  </cacheSource>
  <cacheFields count="9">
    <cacheField name="Module" numFmtId="0">
      <sharedItems containsBlank="1" count="5">
        <s v="Base de données"/>
        <s v="Page  d  ‘ajout"/>
        <s v="Page d’accueil"/>
        <s v="Page fonction"/>
        <m/>
      </sharedItems>
    </cacheField>
    <cacheField name="Nom page" numFmtId="0">
      <sharedItems containsBlank="1" count="6">
        <s v="accueil.php"/>
        <s v="besoin.php"/>
        <s v="bngrc.sql"/>
        <s v="fonction.php"/>
        <s v="insert.sql"/>
        <m/>
      </sharedItems>
    </cacheField>
    <cacheField name="Description" numFmtId="0">
      <sharedItems containsBlank="1" count="7">
        <s v="CRUD d’ ajout de dons"/>
        <s v="CRUD de besoin par ville"/>
        <s v="fonction getsinistreparville"/>
        <s v="Insertion des données initiales"/>
        <s v="Postgresql:création des tables "/>
        <s v="Tableau de bord:listes villes"/>
        <m/>
      </sharedItems>
    </cacheField>
    <cacheField name="Type" numFmtId="0">
      <sharedItems containsBlank="1" count="3">
        <s v="Base"/>
        <s v="Page php"/>
        <m/>
      </sharedItems>
    </cacheField>
    <cacheField name="Estimation" numFmtId="0">
      <sharedItems containsString="0" containsBlank="1" containsNumber="1" containsInteger="1" minValue="5" maxValue="10" count="3">
        <n v="5"/>
        <n v="10"/>
        <m/>
      </sharedItems>
    </cacheField>
    <cacheField name="Temps passé" numFmtId="0">
      <sharedItems containsString="0" containsBlank="1" count="1">
        <m/>
      </sharedItems>
    </cacheField>
    <cacheField name="Reste à faire" numFmtId="0">
      <sharedItems containsString="0" containsBlank="1" count="1">
        <m/>
      </sharedItems>
    </cacheField>
    <cacheField name="Qui" numFmtId="0">
      <sharedItems containsBlank="1" count="3">
        <s v="Mendrika"/>
        <s v="Sanda"/>
        <m/>
      </sharedItems>
    </cacheField>
    <cacheField name="Status" numFmtId="0">
      <sharedItems containsBlank="1" count="2">
        <s v="ok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">
  <r>
    <x v="0"/>
    <x v="2"/>
    <x v="4"/>
    <x v="0"/>
    <x v="1"/>
    <x v="0"/>
    <x v="0"/>
    <x v="0"/>
    <x v="0"/>
  </r>
  <r>
    <x v="0"/>
    <x v="4"/>
    <x v="3"/>
    <x v="0"/>
    <x v="0"/>
    <x v="0"/>
    <x v="0"/>
    <x v="0"/>
    <x v="1"/>
  </r>
  <r>
    <x v="2"/>
    <x v="0"/>
    <x v="5"/>
    <x v="1"/>
    <x v="1"/>
    <x v="0"/>
    <x v="0"/>
    <x v="1"/>
    <x v="0"/>
  </r>
  <r>
    <x v="1"/>
    <x v="1"/>
    <x v="1"/>
    <x v="1"/>
    <x v="1"/>
    <x v="0"/>
    <x v="0"/>
    <x v="1"/>
    <x v="1"/>
  </r>
  <r>
    <x v="3"/>
    <x v="3"/>
    <x v="2"/>
    <x v="2"/>
    <x v="2"/>
    <x v="0"/>
    <x v="0"/>
    <x v="2"/>
    <x v="1"/>
  </r>
  <r>
    <x v="1"/>
    <x v="1"/>
    <x v="0"/>
    <x v="1"/>
    <x v="1"/>
    <x v="0"/>
    <x v="0"/>
    <x v="1"/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7" firstHeaderRow="1" firstDataRow="1" firstDataCol="1"/>
  <pivotFields count="9"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</pivotFields>
  <rowFields count="1">
    <field x="7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0.55078125" defaultRowHeight="12.8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5"/>
  </cols>
  <sheetData>
    <row r="1" customFormat="false" ht="15" hidden="false" customHeight="false" outlineLevel="0" collapsed="false"/>
    <row r="2" customFormat="false" ht="15" hidden="false" customHeight="false" outlineLevel="0" collapsed="false"/>
    <row r="3" customFormat="false" ht="15" hidden="false" customHeight="false" outlineLevel="0" collapsed="false">
      <c r="A3" s="2" t="s">
        <v>0</v>
      </c>
      <c r="B3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6" t="s">
        <v>3</v>
      </c>
      <c r="B5" s="7" t="n">
        <v>15</v>
      </c>
    </row>
    <row r="6" customFormat="false" ht="15" hidden="false" customHeight="false" outlineLevel="0" collapsed="false">
      <c r="A6" s="6" t="s">
        <v>4</v>
      </c>
      <c r="B6" s="8" t="n">
        <v>30</v>
      </c>
    </row>
    <row r="7" customFormat="false" ht="15" hidden="false" customHeight="false" outlineLevel="0" collapsed="false">
      <c r="A7" s="9" t="s">
        <v>5</v>
      </c>
      <c r="B7" s="10" t="n">
        <v>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I7" activeCellId="0" sqref="I7"/>
    </sheetView>
  </sheetViews>
  <sheetFormatPr defaultColWidth="10.55078125" defaultRowHeight="15" zeroHeight="false" outlineLevelRow="0" outlineLevelCol="0"/>
  <cols>
    <col collapsed="false" customWidth="true" hidden="false" outlineLevel="0" max="1" min="1" style="1" width="21.63"/>
    <col collapsed="false" customWidth="true" hidden="false" outlineLevel="0" max="2" min="2" style="1" width="31.55"/>
    <col collapsed="false" customWidth="true" hidden="false" outlineLevel="0" max="3" min="3" style="1" width="36.06"/>
    <col collapsed="false" customWidth="true" hidden="false" outlineLevel="0" max="4" min="4" style="1" width="25.92"/>
    <col collapsed="false" customWidth="true" hidden="false" outlineLevel="0" max="5" min="5" style="1" width="24.01"/>
    <col collapsed="false" customWidth="true" hidden="false" outlineLevel="0" max="6" min="6" style="1" width="25.13"/>
    <col collapsed="false" customWidth="true" hidden="false" outlineLevel="0" max="7" min="7" style="1" width="18.15"/>
    <col collapsed="false" customWidth="true" hidden="false" outlineLevel="0" max="8" min="8" style="1" width="19.72"/>
    <col collapsed="false" customWidth="true" hidden="false" outlineLevel="0" max="9" min="9" style="1" width="23.55"/>
    <col collapsed="false" customWidth="true" hidden="false" outlineLevel="0" max="16384" min="16384" style="1" width="9.34"/>
  </cols>
  <sheetData>
    <row r="1" customFormat="false" ht="15" hidden="false" customHeight="false" outlineLevel="0" collapsed="false">
      <c r="A1" s="11" t="s">
        <v>6</v>
      </c>
      <c r="B1" s="11" t="s">
        <v>7</v>
      </c>
      <c r="C1" s="11" t="s">
        <v>8</v>
      </c>
      <c r="D1" s="11" t="s">
        <v>9</v>
      </c>
      <c r="E1" s="11" t="s">
        <v>10</v>
      </c>
      <c r="F1" s="11" t="s">
        <v>11</v>
      </c>
      <c r="G1" s="11" t="s">
        <v>12</v>
      </c>
      <c r="H1" s="11" t="s">
        <v>0</v>
      </c>
      <c r="I1" s="11" t="s">
        <v>13</v>
      </c>
    </row>
    <row r="2" customFormat="false" ht="15" hidden="false" customHeight="false" outlineLevel="0" collapsed="false">
      <c r="A2" s="1" t="s">
        <v>14</v>
      </c>
      <c r="B2" s="1" t="s">
        <v>15</v>
      </c>
      <c r="C2" s="1" t="s">
        <v>16</v>
      </c>
      <c r="D2" s="1" t="s">
        <v>17</v>
      </c>
      <c r="E2" s="1" t="n">
        <v>10</v>
      </c>
      <c r="H2" s="1" t="s">
        <v>3</v>
      </c>
      <c r="I2" s="1" t="s">
        <v>18</v>
      </c>
    </row>
    <row r="3" customFormat="false" ht="15" hidden="false" customHeight="false" outlineLevel="0" collapsed="false">
      <c r="A3" s="1" t="s">
        <v>14</v>
      </c>
      <c r="B3" s="1" t="s">
        <v>19</v>
      </c>
      <c r="C3" s="1" t="s">
        <v>20</v>
      </c>
      <c r="D3" s="1" t="s">
        <v>17</v>
      </c>
      <c r="E3" s="1" t="n">
        <v>5</v>
      </c>
      <c r="H3" s="1" t="s">
        <v>3</v>
      </c>
      <c r="I3" s="1" t="s">
        <v>18</v>
      </c>
    </row>
    <row r="4" customFormat="false" ht="15" hidden="false" customHeight="false" outlineLevel="0" collapsed="false">
      <c r="A4" s="1" t="s">
        <v>21</v>
      </c>
      <c r="B4" s="1" t="s">
        <v>22</v>
      </c>
      <c r="C4" s="1" t="s">
        <v>23</v>
      </c>
      <c r="D4" s="1" t="s">
        <v>24</v>
      </c>
      <c r="E4" s="1" t="n">
        <v>10</v>
      </c>
      <c r="H4" s="1" t="s">
        <v>4</v>
      </c>
      <c r="I4" s="1" t="s">
        <v>18</v>
      </c>
    </row>
    <row r="5" customFormat="false" ht="15" hidden="false" customHeight="false" outlineLevel="0" collapsed="false">
      <c r="A5" s="1" t="s">
        <v>25</v>
      </c>
      <c r="B5" s="1" t="s">
        <v>26</v>
      </c>
      <c r="C5" s="1" t="s">
        <v>27</v>
      </c>
      <c r="D5" s="1" t="s">
        <v>24</v>
      </c>
      <c r="E5" s="1" t="n">
        <v>10</v>
      </c>
      <c r="H5" s="1" t="s">
        <v>4</v>
      </c>
      <c r="I5" s="1" t="s">
        <v>18</v>
      </c>
    </row>
    <row r="6" customFormat="false" ht="15" hidden="false" customHeight="false" outlineLevel="0" collapsed="false">
      <c r="A6" s="1" t="s">
        <v>28</v>
      </c>
      <c r="B6" s="1" t="s">
        <v>29</v>
      </c>
      <c r="C6" s="1" t="s">
        <v>30</v>
      </c>
    </row>
    <row r="7" customFormat="false" ht="15" hidden="false" customHeight="false" outlineLevel="0" collapsed="false">
      <c r="A7" s="1" t="s">
        <v>25</v>
      </c>
      <c r="B7" s="1" t="s">
        <v>26</v>
      </c>
      <c r="C7" s="1" t="s">
        <v>31</v>
      </c>
      <c r="D7" s="1" t="s">
        <v>24</v>
      </c>
      <c r="E7" s="1" t="n">
        <v>10</v>
      </c>
      <c r="H7" s="1" t="s">
        <v>32</v>
      </c>
      <c r="I7" s="1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55078125" defaultRowHeight="12.8" zeroHeight="false" outlineLevelRow="0" outlineLevelCol="0"/>
  <cols>
    <col collapsed="false" customWidth="true" hidden="false" outlineLevel="0" max="1" min="1" style="1" width="25.5"/>
    <col collapsed="false" customWidth="true" hidden="false" outlineLevel="0" max="2" min="2" style="1" width="25.83"/>
    <col collapsed="false" customWidth="true" hidden="false" outlineLevel="0" max="3" min="3" style="1" width="30.83"/>
    <col collapsed="false" customWidth="true" hidden="false" outlineLevel="0" max="4" min="4" style="1" width="12.51"/>
    <col collapsed="false" customWidth="true" hidden="false" outlineLevel="0" max="5" min="5" style="1" width="22.5"/>
  </cols>
  <sheetData>
    <row r="1" customFormat="false" ht="15" hidden="false" customHeight="false" outlineLevel="0" collapsed="false">
      <c r="A1" s="11" t="s">
        <v>33</v>
      </c>
      <c r="B1" s="11" t="s">
        <v>34</v>
      </c>
      <c r="C1" s="11" t="s">
        <v>35</v>
      </c>
      <c r="D1" s="11" t="s">
        <v>36</v>
      </c>
      <c r="E1" s="11" t="s">
        <v>37</v>
      </c>
    </row>
    <row r="2" customFormat="false" ht="15" hidden="false" customHeight="false" outlineLevel="0" collapsed="false">
      <c r="A2" s="1" t="n">
        <f aca="false">SUM('liste des taches'!E2:E330)</f>
        <v>45</v>
      </c>
      <c r="B2" s="1" t="n">
        <f aca="false">SUM('liste des taches'!F2:F328)</f>
        <v>0</v>
      </c>
      <c r="C2" s="1" t="n">
        <f aca="false">SUM('liste des taches'!G2:G330)</f>
        <v>0</v>
      </c>
      <c r="D2" s="12" t="e">
        <f aca="false">(B2/(B2+C2))</f>
        <v>#DIV/0!</v>
      </c>
      <c r="E2" s="13" t="n">
        <f aca="false">((B2+C2)-A2)/A2</f>
        <v>-1</v>
      </c>
    </row>
    <row r="3" customFormat="false" ht="15" hidden="false" customHeight="false" outlineLevel="0" collapsed="false">
      <c r="C3" s="1" t="n">
        <f aca="false">C2/60</f>
        <v>0</v>
      </c>
      <c r="D3" s="1" t="s">
        <v>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55078125" defaultRowHeight="12.8" zeroHeight="false" outlineLevelRow="0" outlineLevelCol="0"/>
  <sheetData>
    <row r="1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2026-02-16T16:15:15Z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